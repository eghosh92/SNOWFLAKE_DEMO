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ena.ghosh\Projects\01-Innovation\SnowflakeHoL\SNOWFLAKE_DEMO\docs\"/>
    </mc:Choice>
  </mc:AlternateContent>
  <xr:revisionPtr revIDLastSave="0" documentId="8_{5C59A7DA-3D70-43EA-8846-05D79584D34B}" xr6:coauthVersionLast="47" xr6:coauthVersionMax="47" xr10:uidLastSave="{00000000-0000-0000-0000-000000000000}"/>
  <bookViews>
    <workbookView xWindow="28680" yWindow="-120" windowWidth="29040" windowHeight="15720" xr2:uid="{BACD83B8-AA48-4C2C-A000-D8CB11F5260F}"/>
  </bookViews>
  <sheets>
    <sheet name="Cost Summary Summary" sheetId="1" r:id="rId1"/>
    <sheet name="Cost Calculator" sheetId="2" r:id="rId2"/>
    <sheet name="Appendix &gt;&gt;&gt;" sheetId="3" r:id="rId3"/>
    <sheet name="Embed token cost" sheetId="4" r:id="rId4"/>
    <sheet name="Manage cost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 l="1"/>
  <c r="D13" i="2" s="1"/>
  <c r="D9" i="2"/>
  <c r="D3" i="2"/>
  <c r="D6" i="2" s="1"/>
</calcChain>
</file>

<file path=xl/sharedStrings.xml><?xml version="1.0" encoding="utf-8"?>
<sst xmlns="http://schemas.openxmlformats.org/spreadsheetml/2006/main" count="84" uniqueCount="72">
  <si>
    <t>Category</t>
  </si>
  <si>
    <t>Description</t>
  </si>
  <si>
    <t>Virtual warehouse compute</t>
  </si>
  <si>
    <t>EMBED_TEXT tokens compute</t>
  </si>
  <si>
    <t>Serving compute</t>
  </si>
  <si>
    <t>A Cortex Search Service uses multi-tenant serving compute, separate from a user-provided Virtual Warehouse, to establish a low-latency, high-throughput service. The compute cost for this component is incurred per GB per month (GB/mo) of uncompressed indexed data, where indexed data is the user-provided data in the Cortex Search source query, plus vector embeddings computed on the user’s behalf. You incur these costs while the service is available to respond to queries, even if no queries are served during a given period. For the Cortex Search Serving credit rate per GB/mo of indexed data, see the Snowflake Service Consumption Table.</t>
  </si>
  <si>
    <t>Storage</t>
  </si>
  <si>
    <t>Cortex Search Services materialize the source query into a table stored in your account. This table is transformed into data structures that are optimized for low-latency serving, also stored in your account. Storage for the table and intermediate data structures are based on a flat rate per terabyte (TB).</t>
  </si>
  <si>
    <t>Cloud services compute</t>
  </si>
  <si>
    <t>Cortex Search Services use Cloud Services compute to identify changes in underlying base objects and whether the virtual warehouse needs to be invoked. Cloud services compute cost is subject to the constraint that Snowflake only bills if the daily cloud services cost is greater than 10% of the daily warehouse cost for the account.</t>
  </si>
  <si>
    <t>A Cortex Search Service requires a virtual warehouse to refresh the service: to run queries against base objects when they are initialized and refreshed, including orchestrating text embedding jobs and building the search index. These operations use compute resources, which consume credits. If no changes are identified during a refresh, virtual warehouse credits aren’t consumed since there’s no new data to refresh.</t>
  </si>
  <si>
    <t>A Cortex Search Service automatically embeds each text row in the search column specified in the ON parameter into vector space to enable semantic search, which incurs a credit cost per token embedded. This involves calling EMBED_TEXT_768 or EMBED_TEXT_1024 to convert each document as a series of numbers that encodes its meaning. Embeddings are computed each time a row is inserted or updated. Embeddings are processed incrementally in the evaluation of the source query, so the embedding cost is only incurred for added or changed documents. See Vector Embeddings for more information on vector embedding costs.</t>
  </si>
  <si>
    <t>Model name</t>
  </si>
  <si>
    <t>Output Dimensions</t>
  </si>
  <si>
    <t>Context window size (tokens)</t>
  </si>
  <si>
    <t>Language support</t>
  </si>
  <si>
    <t>Credit cost per 1M tokens</t>
  </si>
  <si>
    <t>English-only</t>
  </si>
  <si>
    <t>snowflake-arctic-embed-l-v2.0</t>
  </si>
  <si>
    <t>Multilingual</t>
  </si>
  <si>
    <t>snowflake-arctic-embed-l-v2.0-8k</t>
  </si>
  <si>
    <t>Snowflake’s price-performant multilingual embedding model, with an increased context window of 8000 tokens. This open-source, 568M-parameter model yields high quality on both English and non-English datasets.</t>
  </si>
  <si>
    <t>voyage-multilingual-2</t>
  </si>
  <si>
    <t>Voyage’s multilingual embedding model. This model yields high quality on both English and non-English datasets. For more information, see the Voyage Multilingual 2 blog post</t>
  </si>
  <si>
    <t>snowflake-arctic-embed-m-v1.5 (default)</t>
  </si>
  <si>
    <t>Snowflake’s most practical, English-only embedding model. This open-source, 110M-parameter model yields the fastest indexing times of the available models in Cortex Search. For more information, see the Arctic Embed 1.5 blog post and Arctic Embed 1.5 model card.</t>
  </si>
  <si>
    <t>Snowflake’s price-performant multilingual embedding modell with a context window of 512 token. This open-source, 568M-parameter model yields high quality on both English and non-English datasets. For more information, see the Arctic Embed 2 blog post and Arctic Embed 2 model card.</t>
  </si>
  <si>
    <t>#credits per million (select the embedding model below)</t>
  </si>
  <si>
    <t>#Rows</t>
  </si>
  <si>
    <t>#tokens per row</t>
  </si>
  <si>
    <t>#No credits</t>
  </si>
  <si>
    <r>
      <t>*</t>
    </r>
    <r>
      <rPr>
        <i/>
        <sz val="11"/>
        <color theme="1"/>
        <rFont val="Aptos Narrow"/>
        <family val="2"/>
        <scheme val="minor"/>
      </rPr>
      <t>For each row inserted or updated thereafter, you’d incur a cost of 0.05 credits per 1 million tokens.</t>
    </r>
  </si>
  <si>
    <t>credits per GB</t>
  </si>
  <si>
    <t>#dimensions for the embedding model for each row</t>
  </si>
  <si>
    <t>#bytes per dimension</t>
  </si>
  <si>
    <t>each row for source column (bytes per row)</t>
  </si>
  <si>
    <t>#No credits monthly</t>
  </si>
  <si>
    <t>Warehouse compute</t>
  </si>
  <si>
    <t>Cloud Services</t>
  </si>
  <si>
    <t>Important links</t>
  </si>
  <si>
    <t xml:space="preserve">chrome-extension://efaidnbmnnnibpcajpcglclefindmkaj/https://www.snowflake.com/legal-files/CreditConsumptionTable.pdf </t>
  </si>
  <si>
    <t>https://docs.snowflake.com/en/user-guide/snowflake-cortex/cortex-search/cortex-search-costs</t>
  </si>
  <si>
    <t>EMBED_TEXT tokens compute is charged per token of text in the search column, per document, charged in to on the cost of the credit rate of the selected embedding model. This compute cost is incurred for each row that is inserted or updated, including for each row in the ON column during the initialization of the service and every insert or update thereafter.</t>
  </si>
  <si>
    <t>Serving compute is charged per gigabyte-month of indexed data, where indexed data is the user-provided data in the Cortex Search source query, plus vector embeddings computed on the user’s behalf. This is an ongoing cost that is incurred as long as the service’s serving status is resumed. This cost is based on the number of rows indexed, the size of the total indexed data, and the dimensionality of the selected vector embedding model</t>
  </si>
  <si>
    <t>The virtual warehouse compute cost for Cortex Search Services can vary based on the change rate of your data, target lag, and warehouse size. In general, Cortex Search Services with lower target lag values and higher change rates on underlying data will incur higher Warehouse-related compute costs.</t>
  </si>
  <si>
    <t>To get a clear understanding of Warehouse costs related to your Cortex Search pipelines, test Cortex Search using dedicated warehouses so that the virtual warehouse consumption attributed to Cortex Search refreshes can be isolated. You can move your Cortex Search Service to a shared warehouse after you establish a cost baseline.</t>
  </si>
  <si>
    <t xml:space="preserve">Cortex Search Services require storage to store the materialized results of the source query, as well as the search index. </t>
  </si>
  <si>
    <t>The size of the data stored can be estimated by materializing the source query into a table using the CORTEX_SEARCH_DATA_SCAN table function, and then examining the size of that table.</t>
  </si>
  <si>
    <t>Cortex Search Services use Cloud Services compute to trigger refreshes when an underlying base object has changed. These costs can vary based on the change rate of your data, target lag, and warehouse size. Cloud services cost for change tracking in Cortex Search tend to be lower for use-cases with low change rates. Cloud services compute cost is subject to the constraint that Snowflake only bills if the daily cloud services cost is greater than 10% of the daily warehouse cost for the account.</t>
  </si>
  <si>
    <t>Managing indexing costs</t>
  </si>
  <si>
    <t>Minimize warehouse size</t>
  </si>
  <si>
    <t>Most services do not see improved indexing performance beyond a LARGE warehouse and many need only MEDIUM. Most of the compute time used in building an index is consumed by the text embedding function, which does not benefit from more cores or additional memory when it already has sufficient resources.</t>
  </si>
  <si>
    <t>Suspend indexing when freshness isn’t important</t>
  </si>
  <si>
    <t>Suspend indexing (or increase target lag) when you don’t need changes in your documents to be immediately propagated to the search service (that is, when freshness isn’t as important during some period).</t>
  </si>
  <si>
    <t>Set target lag according to business requirements</t>
  </si>
  <si>
    <t>Not every search application requires real-time indexing. A target lag that is too low may cause your index to be refreshed more frequently than necessary. For example, if your source data updates every five minutes, but the consumer of the data only queries the search service once an hour, set the target lag to one hour, not five minutes.</t>
  </si>
  <si>
    <t>Define primary keys</t>
  </si>
  <si>
    <t>Defining primary keys on your Cortex Search Service can result in significant reductions to both the cost and latency of indexing. Services with primary keys can make use of an optimized refresh path when the underlying data changes, particularly when the number of changes since the last refresh is small and the last refresh occurred within the previous week. For more information on defining primary keys, see Primary keys.</t>
  </si>
  <si>
    <t>Bundle changes together</t>
  </si>
  <si>
    <t>There is a fixed component to the cost of an update, so fewer, bigger updates are less expensive than more frequent, smaller updates. Likewise, any change to any value within a row triggers the search column in that row to be embedded again, even if the data within that search column is unchanged, so it is better to accumulate all the changes to a row into a single update. For more information about vector embedding costs, see Vector Embeddings.</t>
  </si>
  <si>
    <t>Minimize changes to the source data</t>
  </si>
  <si>
    <t>Keep the source query as simple as possible</t>
  </si>
  <si>
    <t>Joins or other complex operations can add to indexing cost (and may be better to apply during ETL or at another stage). Refer to the Dynamic Tables Best Practices for more information on optimizing pipelines.</t>
  </si>
  <si>
    <t>Managing serving costs</t>
  </si>
  <si>
    <t>Suspend serving when it isn’t serving queries</t>
  </si>
  <si>
    <t>A running search service incurs costs even if it is not serving queries. Suspend the service when it is not needed, for example during development. It typically takes only a few minutes to resume a suspended service.</t>
  </si>
  <si>
    <t>Observing costs</t>
  </si>
  <si>
    <t>CORTEX_SEARCH_DAILY_USAGE_HISTORY view contains daily totals for EMBED_TEXT tokens compute and serving credit compute usage per service. Snowflake intends to also provide virtual warehouse usage in this view in the future.</t>
  </si>
  <si>
    <t>CORTEX_SEARCH_SERVING_USAGE_HISTORY view includes hourly serving credits per service.</t>
  </si>
  <si>
    <t>Snowflake intends to make this information available in the Cortex Search administration interface in the future.</t>
  </si>
  <si>
    <t>Any change to the schema of the source query causes a full refresh of the service, including vector embeddings and indexes. When you create a large service, consider including extra payload columns for later use, so you don’t need to trigger a full refresh by changing the schema when you need to add a column. The cost of the additional columns is low.
Materializing data in a table in the source query with a CREATE OR REPLACE command causes the service to fully refresh and embed all vectors again. It’s better to update the source table incrementally (for example, with MERGE INTO). For more information about vector embedding costs, see Vector Embeddings.</t>
  </si>
  <si>
    <t>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</si>
</sst>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5" x14ac:knownFonts="1">
    <font>
      <sz val="11"/>
      <color theme="1"/>
      <name val="Aptos Narrow"/>
      <family val="2"/>
      <scheme val="minor"/>
    </font>
    <font>
      <b/>
      <sz val="11"/>
      <color theme="1"/>
      <name val="Aptos Narrow"/>
      <family val="2"/>
      <scheme val="minor"/>
    </font>
    <font>
      <sz val="10"/>
      <color theme="1"/>
      <name val="Aptos Narrow"/>
      <family val="2"/>
      <scheme val="minor"/>
    </font>
    <font>
      <i/>
      <sz val="11"/>
      <color theme="1"/>
      <name val="Aptos Narrow"/>
      <family val="2"/>
      <scheme val="minor"/>
    </font>
    <font>
      <i/>
      <sz val="10"/>
      <color theme="1"/>
      <name val="Aptos Narrow"/>
      <family val="2"/>
      <scheme val="minor"/>
    </font>
  </fonts>
  <fills count="3">
    <fill>
      <patternFill patternType="none"/>
    </fill>
    <fill>
      <patternFill patternType="gray125"/>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66">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1" xfId="0" applyFont="1" applyBorder="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3" xfId="0" applyBorder="1" applyAlignment="1">
      <alignment horizontal="center" vertical="center"/>
    </xf>
    <xf numFmtId="0" fontId="0" fillId="0" borderId="4" xfId="0" applyBorder="1"/>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1" xfId="0" applyFont="1" applyBorder="1" applyAlignment="1">
      <alignment horizontal="left" vertical="center" wrapText="1"/>
    </xf>
    <xf numFmtId="0" fontId="1" fillId="0" borderId="13" xfId="0" applyFont="1" applyBorder="1" applyAlignment="1">
      <alignment horizontal="center" vertical="center"/>
    </xf>
    <xf numFmtId="0" fontId="0" fillId="0" borderId="14" xfId="0" applyFont="1" applyBorder="1" applyAlignment="1">
      <alignment horizontal="left" vertical="center" wrapText="1"/>
    </xf>
    <xf numFmtId="0" fontId="0" fillId="0" borderId="14" xfId="0" applyBorder="1" applyAlignment="1">
      <alignment horizontal="left" vertical="center" wrapText="1"/>
    </xf>
    <xf numFmtId="0" fontId="1" fillId="0" borderId="2" xfId="0" applyFont="1" applyBorder="1" applyAlignment="1">
      <alignment horizontal="center" vertical="center" wrapText="1"/>
    </xf>
    <xf numFmtId="0" fontId="0" fillId="0" borderId="3" xfId="0" applyFont="1" applyBorder="1" applyAlignment="1">
      <alignment horizontal="left" vertical="center" wrapText="1"/>
    </xf>
    <xf numFmtId="0" fontId="1" fillId="0" borderId="7" xfId="0" applyFont="1" applyBorder="1" applyAlignment="1">
      <alignment horizontal="center" vertical="center" wrapText="1"/>
    </xf>
    <xf numFmtId="0" fontId="0" fillId="0" borderId="8" xfId="0" applyFont="1" applyBorder="1" applyAlignment="1">
      <alignment horizontal="left" vertical="center" wrapText="1"/>
    </xf>
    <xf numFmtId="0" fontId="1" fillId="0" borderId="10" xfId="0" applyFont="1" applyBorder="1" applyAlignment="1">
      <alignment horizontal="center" vertical="center"/>
    </xf>
    <xf numFmtId="0" fontId="0" fillId="0" borderId="11" xfId="0" applyBorder="1" applyAlignment="1">
      <alignment horizontal="left" vertical="center" wrapText="1"/>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vertical="center"/>
    </xf>
    <xf numFmtId="0" fontId="0" fillId="0" borderId="6" xfId="0" applyBorder="1" applyAlignment="1">
      <alignment vertical="center"/>
    </xf>
    <xf numFmtId="0" fontId="0" fillId="0" borderId="1" xfId="0" applyBorder="1" applyAlignment="1">
      <alignment vertical="center"/>
    </xf>
    <xf numFmtId="3" fontId="0" fillId="0" borderId="6" xfId="0" applyNumberFormat="1"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3" xfId="0" applyBorder="1" applyAlignment="1">
      <alignment horizontal="left" vertical="center" wrapText="1"/>
    </xf>
    <xf numFmtId="0" fontId="0" fillId="0" borderId="8" xfId="0" applyBorder="1" applyAlignment="1">
      <alignment horizontal="left"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1" fillId="2" borderId="8" xfId="0" applyFont="1" applyFill="1" applyBorder="1" applyAlignment="1">
      <alignment vertical="center"/>
    </xf>
    <xf numFmtId="168" fontId="1" fillId="2" borderId="9" xfId="0" applyNumberFormat="1" applyFont="1" applyFill="1" applyBorder="1" applyAlignment="1">
      <alignment vertical="center"/>
    </xf>
    <xf numFmtId="0" fontId="1" fillId="2" borderId="1" xfId="0" applyFont="1" applyFill="1" applyBorder="1" applyAlignment="1">
      <alignment vertical="center"/>
    </xf>
    <xf numFmtId="0" fontId="1" fillId="2" borderId="6" xfId="0" applyFont="1" applyFill="1"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0" fillId="0" borderId="14" xfId="0"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wrapText="1"/>
    </xf>
    <xf numFmtId="0" fontId="0" fillId="0" borderId="15"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0" fillId="0" borderId="5" xfId="0" applyBorder="1" applyAlignment="1">
      <alignment horizontal="center" vertical="center" wrapText="1"/>
    </xf>
    <xf numFmtId="0" fontId="2" fillId="0" borderId="6" xfId="0" applyFont="1" applyBorder="1" applyAlignment="1">
      <alignment horizontal="left" vertical="center" wrapText="1"/>
    </xf>
    <xf numFmtId="0" fontId="0" fillId="0" borderId="7" xfId="0" applyBorder="1" applyAlignment="1">
      <alignment horizontal="center" vertical="center" wrapText="1"/>
    </xf>
    <xf numFmtId="0" fontId="2" fillId="0" borderId="9" xfId="0" applyFont="1" applyBorder="1" applyAlignment="1">
      <alignment horizontal="left" vertical="center" wrapText="1"/>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9BC8C-18A1-4D4C-AF5B-02F7FB3B29C1}">
  <dimension ref="A1:B9"/>
  <sheetViews>
    <sheetView showGridLines="0" tabSelected="1" workbookViewId="0"/>
  </sheetViews>
  <sheetFormatPr defaultRowHeight="14.4" x14ac:dyDescent="0.3"/>
  <cols>
    <col min="1" max="1" width="32.44140625" style="2" customWidth="1"/>
    <col min="2" max="2" width="112.109375" style="2" bestFit="1" customWidth="1"/>
    <col min="3" max="3" width="91.77734375" customWidth="1"/>
  </cols>
  <sheetData>
    <row r="1" spans="1:2" x14ac:dyDescent="0.3">
      <c r="A1" s="59" t="s">
        <v>0</v>
      </c>
      <c r="B1" s="60" t="s">
        <v>1</v>
      </c>
    </row>
    <row r="2" spans="1:2" ht="41.4" x14ac:dyDescent="0.3">
      <c r="A2" s="61" t="s">
        <v>2</v>
      </c>
      <c r="B2" s="62" t="s">
        <v>10</v>
      </c>
    </row>
    <row r="3" spans="1:2" ht="69" x14ac:dyDescent="0.3">
      <c r="A3" s="61" t="s">
        <v>3</v>
      </c>
      <c r="B3" s="62" t="s">
        <v>11</v>
      </c>
    </row>
    <row r="4" spans="1:2" ht="69" x14ac:dyDescent="0.3">
      <c r="A4" s="61" t="s">
        <v>4</v>
      </c>
      <c r="B4" s="62" t="s">
        <v>5</v>
      </c>
    </row>
    <row r="5" spans="1:2" ht="41.4" x14ac:dyDescent="0.3">
      <c r="A5" s="61" t="s">
        <v>6</v>
      </c>
      <c r="B5" s="62" t="s">
        <v>7</v>
      </c>
    </row>
    <row r="6" spans="1:2" ht="42" thickBot="1" x14ac:dyDescent="0.35">
      <c r="A6" s="63" t="s">
        <v>8</v>
      </c>
      <c r="B6" s="64" t="s">
        <v>9</v>
      </c>
    </row>
    <row r="8" spans="1:2" x14ac:dyDescent="0.3">
      <c r="A8" s="4" t="s">
        <v>39</v>
      </c>
      <c r="B8" s="65" t="s">
        <v>40</v>
      </c>
    </row>
    <row r="9" spans="1:2" x14ac:dyDescent="0.3">
      <c r="B9" s="65"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4D914-3587-4990-A9D6-AE48510859E2}">
  <dimension ref="A1:E19"/>
  <sheetViews>
    <sheetView showGridLines="0" workbookViewId="0">
      <selection activeCell="J14" sqref="J14"/>
    </sheetView>
  </sheetViews>
  <sheetFormatPr defaultRowHeight="14.4" x14ac:dyDescent="0.3"/>
  <cols>
    <col min="1" max="1" width="34.6640625" customWidth="1"/>
    <col min="2" max="2" width="65.44140625" customWidth="1"/>
    <col min="3" max="3" width="51.77734375" bestFit="1" customWidth="1"/>
    <col min="4" max="4" width="10.109375" bestFit="1" customWidth="1"/>
  </cols>
  <sheetData>
    <row r="1" spans="1:5" x14ac:dyDescent="0.3">
      <c r="A1" s="7" t="s">
        <v>0</v>
      </c>
      <c r="B1" s="8" t="s">
        <v>1</v>
      </c>
      <c r="C1" s="9"/>
      <c r="D1" s="10"/>
    </row>
    <row r="2" spans="1:5" x14ac:dyDescent="0.3">
      <c r="A2" s="11" t="s">
        <v>3</v>
      </c>
      <c r="B2" s="6" t="s">
        <v>42</v>
      </c>
      <c r="C2" s="27" t="s">
        <v>27</v>
      </c>
      <c r="D2" s="28"/>
    </row>
    <row r="3" spans="1:5" x14ac:dyDescent="0.3">
      <c r="A3" s="11"/>
      <c r="B3" s="6"/>
      <c r="C3" s="29" t="s">
        <v>24</v>
      </c>
      <c r="D3" s="28">
        <f>VLOOKUP(C3,'Embed token cost'!$A:$E,5,FALSE)</f>
        <v>0.03</v>
      </c>
    </row>
    <row r="4" spans="1:5" x14ac:dyDescent="0.3">
      <c r="A4" s="11"/>
      <c r="B4" s="6"/>
      <c r="C4" s="29" t="s">
        <v>28</v>
      </c>
      <c r="D4" s="30">
        <v>10000000</v>
      </c>
    </row>
    <row r="5" spans="1:5" x14ac:dyDescent="0.3">
      <c r="A5" s="11"/>
      <c r="B5" s="6"/>
      <c r="C5" s="29" t="s">
        <v>29</v>
      </c>
      <c r="D5" s="28">
        <v>500</v>
      </c>
    </row>
    <row r="6" spans="1:5" x14ac:dyDescent="0.3">
      <c r="A6" s="11"/>
      <c r="B6" s="6"/>
      <c r="C6" s="43" t="s">
        <v>30</v>
      </c>
      <c r="D6" s="44">
        <f>(D3)*D4*D5/1000000</f>
        <v>150</v>
      </c>
    </row>
    <row r="7" spans="1:5" ht="15" thickBot="1" x14ac:dyDescent="0.35">
      <c r="A7" s="12"/>
      <c r="B7" s="13"/>
      <c r="C7" s="31"/>
      <c r="D7" s="32"/>
      <c r="E7" t="s">
        <v>31</v>
      </c>
    </row>
    <row r="8" spans="1:5" x14ac:dyDescent="0.3">
      <c r="A8" s="17" t="s">
        <v>4</v>
      </c>
      <c r="B8" s="18" t="s">
        <v>43</v>
      </c>
      <c r="C8" s="33" t="s">
        <v>32</v>
      </c>
      <c r="D8" s="34">
        <v>6.3</v>
      </c>
    </row>
    <row r="9" spans="1:5" x14ac:dyDescent="0.3">
      <c r="A9" s="11"/>
      <c r="B9" s="6"/>
      <c r="C9" s="29" t="s">
        <v>28</v>
      </c>
      <c r="D9" s="30">
        <f>D4</f>
        <v>10000000</v>
      </c>
    </row>
    <row r="10" spans="1:5" x14ac:dyDescent="0.3">
      <c r="A10" s="11"/>
      <c r="B10" s="6"/>
      <c r="C10" s="29" t="s">
        <v>33</v>
      </c>
      <c r="D10" s="28">
        <f>VLOOKUP(C3,'Embed token cost'!A:B,2,FALSE)</f>
        <v>768</v>
      </c>
    </row>
    <row r="11" spans="1:5" x14ac:dyDescent="0.3">
      <c r="A11" s="11"/>
      <c r="B11" s="6"/>
      <c r="C11" s="29" t="s">
        <v>34</v>
      </c>
      <c r="D11" s="28">
        <v>4</v>
      </c>
    </row>
    <row r="12" spans="1:5" x14ac:dyDescent="0.3">
      <c r="A12" s="11"/>
      <c r="B12" s="6"/>
      <c r="C12" s="29" t="s">
        <v>35</v>
      </c>
      <c r="D12" s="28">
        <v>1000</v>
      </c>
    </row>
    <row r="13" spans="1:5" ht="15" thickBot="1" x14ac:dyDescent="0.35">
      <c r="A13" s="19"/>
      <c r="B13" s="20"/>
      <c r="C13" s="41" t="s">
        <v>36</v>
      </c>
      <c r="D13" s="42">
        <f>D8*D9*(D10*D11+1000)/10^9</f>
        <v>256.536</v>
      </c>
    </row>
    <row r="14" spans="1:5" ht="34.799999999999997" customHeight="1" x14ac:dyDescent="0.3">
      <c r="A14" s="14" t="s">
        <v>37</v>
      </c>
      <c r="B14" s="15" t="s">
        <v>44</v>
      </c>
      <c r="C14" s="16" t="s">
        <v>45</v>
      </c>
      <c r="D14" s="35"/>
    </row>
    <row r="15" spans="1:5" ht="50.4" customHeight="1" thickBot="1" x14ac:dyDescent="0.35">
      <c r="A15" s="21"/>
      <c r="B15" s="13"/>
      <c r="C15" s="22"/>
      <c r="D15" s="36"/>
    </row>
    <row r="16" spans="1:5" x14ac:dyDescent="0.3">
      <c r="A16" s="23" t="s">
        <v>6</v>
      </c>
      <c r="B16" s="18" t="s">
        <v>46</v>
      </c>
      <c r="C16" s="37" t="s">
        <v>47</v>
      </c>
      <c r="D16" s="35"/>
    </row>
    <row r="17" spans="1:4" ht="44.4" customHeight="1" thickBot="1" x14ac:dyDescent="0.35">
      <c r="A17" s="24"/>
      <c r="B17" s="20"/>
      <c r="C17" s="38"/>
      <c r="D17" s="36"/>
    </row>
    <row r="18" spans="1:4" ht="55.8" customHeight="1" x14ac:dyDescent="0.3">
      <c r="A18" s="25" t="s">
        <v>38</v>
      </c>
      <c r="B18" s="15" t="s">
        <v>48</v>
      </c>
      <c r="C18" s="39"/>
      <c r="D18" s="35"/>
    </row>
    <row r="19" spans="1:4" ht="66" customHeight="1" thickBot="1" x14ac:dyDescent="0.35">
      <c r="A19" s="26"/>
      <c r="B19" s="20"/>
      <c r="C19" s="40"/>
      <c r="D19" s="36"/>
    </row>
  </sheetData>
  <mergeCells count="16">
    <mergeCell ref="A16:A17"/>
    <mergeCell ref="B16:B17"/>
    <mergeCell ref="C16:C17"/>
    <mergeCell ref="B18:B19"/>
    <mergeCell ref="D16:D17"/>
    <mergeCell ref="D14:D15"/>
    <mergeCell ref="A18:A19"/>
    <mergeCell ref="C18:C19"/>
    <mergeCell ref="D18:D19"/>
    <mergeCell ref="A2:A7"/>
    <mergeCell ref="B2:B7"/>
    <mergeCell ref="A8:A13"/>
    <mergeCell ref="B8:B13"/>
    <mergeCell ref="B14:B15"/>
    <mergeCell ref="C14:C15"/>
    <mergeCell ref="A14:A1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6ACC062-15E2-4861-BCE3-DE698696E372}">
          <x14:formula1>
            <xm:f>'Embed token cost'!$A$2:$A$5</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25E6E-64DA-46D3-97BA-BE6E373EBEE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D0A6-D1C1-4ACE-A3CC-3A0C5DE8C5D8}">
  <dimension ref="A1:F5"/>
  <sheetViews>
    <sheetView workbookViewId="0">
      <selection activeCell="E2" sqref="E2"/>
    </sheetView>
  </sheetViews>
  <sheetFormatPr defaultRowHeight="14.4" x14ac:dyDescent="0.3"/>
  <cols>
    <col min="1" max="1" width="36.88671875" bestFit="1" customWidth="1"/>
    <col min="2" max="2" width="17.77734375" bestFit="1" customWidth="1"/>
    <col min="3" max="3" width="27.33203125" bestFit="1" customWidth="1"/>
    <col min="4" max="4" width="16.33203125" bestFit="1" customWidth="1"/>
    <col min="5" max="5" width="23.77734375" bestFit="1" customWidth="1"/>
    <col min="6" max="6" width="89.88671875" style="1" customWidth="1"/>
  </cols>
  <sheetData>
    <row r="1" spans="1:6" x14ac:dyDescent="0.3">
      <c r="A1" s="5" t="s">
        <v>12</v>
      </c>
      <c r="B1" s="5" t="s">
        <v>13</v>
      </c>
      <c r="C1" s="5" t="s">
        <v>14</v>
      </c>
      <c r="D1" s="5" t="s">
        <v>15</v>
      </c>
      <c r="E1" s="5" t="s">
        <v>16</v>
      </c>
      <c r="F1" s="4" t="s">
        <v>1</v>
      </c>
    </row>
    <row r="2" spans="1:6" ht="43.2" x14ac:dyDescent="0.3">
      <c r="A2" s="2" t="s">
        <v>24</v>
      </c>
      <c r="B2" s="2">
        <v>768</v>
      </c>
      <c r="C2" s="2">
        <v>512</v>
      </c>
      <c r="D2" s="2" t="s">
        <v>17</v>
      </c>
      <c r="E2" s="2">
        <v>0.03</v>
      </c>
      <c r="F2" s="3" t="s">
        <v>25</v>
      </c>
    </row>
    <row r="3" spans="1:6" ht="43.2" x14ac:dyDescent="0.3">
      <c r="A3" s="2" t="s">
        <v>18</v>
      </c>
      <c r="B3" s="2">
        <v>1024</v>
      </c>
      <c r="C3" s="2">
        <v>512</v>
      </c>
      <c r="D3" s="2" t="s">
        <v>19</v>
      </c>
      <c r="E3" s="2">
        <v>0.05</v>
      </c>
      <c r="F3" s="3" t="s">
        <v>26</v>
      </c>
    </row>
    <row r="4" spans="1:6" ht="43.2" x14ac:dyDescent="0.3">
      <c r="A4" s="2" t="s">
        <v>20</v>
      </c>
      <c r="B4" s="2">
        <v>1024</v>
      </c>
      <c r="C4" s="2">
        <v>8192</v>
      </c>
      <c r="D4" s="2" t="s">
        <v>19</v>
      </c>
      <c r="E4" s="2">
        <v>0.05</v>
      </c>
      <c r="F4" s="3" t="s">
        <v>21</v>
      </c>
    </row>
    <row r="5" spans="1:6" ht="28.8" x14ac:dyDescent="0.3">
      <c r="A5" s="2" t="s">
        <v>22</v>
      </c>
      <c r="B5" s="2">
        <v>1024</v>
      </c>
      <c r="C5" s="2">
        <v>512</v>
      </c>
      <c r="D5" s="2" t="s">
        <v>19</v>
      </c>
      <c r="E5" s="2">
        <v>7.0000000000000007E-2</v>
      </c>
      <c r="F5" s="3"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2B5D7-3AF2-454D-B5A5-9386CDBECBBE}">
  <dimension ref="A1:C12"/>
  <sheetViews>
    <sheetView showGridLines="0" workbookViewId="0"/>
  </sheetViews>
  <sheetFormatPr defaultRowHeight="14.4" x14ac:dyDescent="0.3"/>
  <cols>
    <col min="1" max="1" width="34.33203125" customWidth="1"/>
    <col min="2" max="2" width="30.33203125" customWidth="1"/>
    <col min="3" max="3" width="114.77734375" customWidth="1"/>
  </cols>
  <sheetData>
    <row r="1" spans="1:3" ht="15" thickBot="1" x14ac:dyDescent="0.35">
      <c r="A1" s="50" t="s">
        <v>0</v>
      </c>
      <c r="B1" s="51" t="s">
        <v>71</v>
      </c>
      <c r="C1" s="52" t="s">
        <v>1</v>
      </c>
    </row>
    <row r="2" spans="1:3" ht="43.2" x14ac:dyDescent="0.3">
      <c r="A2" s="49" t="s">
        <v>49</v>
      </c>
      <c r="B2" s="53" t="s">
        <v>50</v>
      </c>
      <c r="C2" s="56" t="s">
        <v>51</v>
      </c>
    </row>
    <row r="3" spans="1:3" ht="28.8" x14ac:dyDescent="0.3">
      <c r="A3" s="47"/>
      <c r="B3" s="46" t="s">
        <v>52</v>
      </c>
      <c r="C3" s="57" t="s">
        <v>53</v>
      </c>
    </row>
    <row r="4" spans="1:3" ht="43.2" x14ac:dyDescent="0.3">
      <c r="A4" s="47"/>
      <c r="B4" s="46" t="s">
        <v>54</v>
      </c>
      <c r="C4" s="57" t="s">
        <v>55</v>
      </c>
    </row>
    <row r="5" spans="1:3" ht="57.6" x14ac:dyDescent="0.3">
      <c r="A5" s="47"/>
      <c r="B5" s="46" t="s">
        <v>56</v>
      </c>
      <c r="C5" s="57" t="s">
        <v>57</v>
      </c>
    </row>
    <row r="6" spans="1:3" ht="57.6" x14ac:dyDescent="0.3">
      <c r="A6" s="47"/>
      <c r="B6" s="46" t="s">
        <v>58</v>
      </c>
      <c r="C6" s="57" t="s">
        <v>59</v>
      </c>
    </row>
    <row r="7" spans="1:3" ht="86.4" x14ac:dyDescent="0.3">
      <c r="A7" s="47"/>
      <c r="B7" s="46" t="s">
        <v>60</v>
      </c>
      <c r="C7" s="57" t="s">
        <v>70</v>
      </c>
    </row>
    <row r="8" spans="1:3" ht="29.4" thickBot="1" x14ac:dyDescent="0.35">
      <c r="A8" s="48"/>
      <c r="B8" s="54" t="s">
        <v>61</v>
      </c>
      <c r="C8" s="58" t="s">
        <v>62</v>
      </c>
    </row>
    <row r="9" spans="1:3" ht="28.8" x14ac:dyDescent="0.3">
      <c r="A9" s="49" t="s">
        <v>63</v>
      </c>
      <c r="B9" s="53" t="s">
        <v>64</v>
      </c>
      <c r="C9" s="56" t="s">
        <v>65</v>
      </c>
    </row>
    <row r="10" spans="1:3" ht="28.8" x14ac:dyDescent="0.3">
      <c r="A10" s="47"/>
      <c r="B10" s="45" t="s">
        <v>66</v>
      </c>
      <c r="C10" s="57" t="s">
        <v>67</v>
      </c>
    </row>
    <row r="11" spans="1:3" x14ac:dyDescent="0.3">
      <c r="A11" s="47"/>
      <c r="B11" s="45"/>
      <c r="C11" s="57" t="s">
        <v>68</v>
      </c>
    </row>
    <row r="12" spans="1:3" ht="15" thickBot="1" x14ac:dyDescent="0.35">
      <c r="A12" s="48"/>
      <c r="B12" s="55"/>
      <c r="C12" s="58" t="s">
        <v>69</v>
      </c>
    </row>
  </sheetData>
  <mergeCells count="3">
    <mergeCell ref="B10:B12"/>
    <mergeCell ref="A2:A8"/>
    <mergeCell ref="A9: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Summary Summary</vt:lpstr>
      <vt:lpstr>Cost Calculator</vt:lpstr>
      <vt:lpstr>Appendix &gt;&gt;&gt;</vt:lpstr>
      <vt:lpstr>Embed token cost</vt:lpstr>
      <vt:lpstr>Manage 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Ena Ghosh</dc:creator>
  <cp:lastModifiedBy>Ena Ghosh</cp:lastModifiedBy>
  <dcterms:created xsi:type="dcterms:W3CDTF">2025-10-15T13:47:36Z</dcterms:created>
  <dcterms:modified xsi:type="dcterms:W3CDTF">2025-10-15T15:06:53Z</dcterms:modified>
</cp:coreProperties>
</file>